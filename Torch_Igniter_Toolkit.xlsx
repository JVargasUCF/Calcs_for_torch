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ADnProjects\PERL\Ignitor Suite\"/>
    </mc:Choice>
  </mc:AlternateContent>
  <xr:revisionPtr revIDLastSave="0" documentId="13_ncr:1_{5CB7E4DC-0E6E-4317-A0E2-41FE1C6F02FF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Inputs" sheetId="1" r:id="rId1"/>
    <sheet name="Regs_Orifices" sheetId="2" r:id="rId2"/>
    <sheet name="Torch_0D" sheetId="3" r:id="rId3"/>
    <sheet name="Heat_Xfer" sheetId="5" r:id="rId4"/>
    <sheet name="Jet_Lstar" sheetId="4" r:id="rId5"/>
    <sheet name="Bolts_Seals" sheetId="6" r:id="rId6"/>
    <sheet name="Optimiz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6" i="6"/>
  <c r="B5" i="6"/>
  <c r="B4" i="6"/>
  <c r="C12" i="5"/>
  <c r="C11" i="5"/>
  <c r="C10" i="5"/>
  <c r="C9" i="5"/>
  <c r="C8" i="5"/>
  <c r="C7" i="5"/>
  <c r="C6" i="5"/>
  <c r="C5" i="5"/>
  <c r="C4" i="5"/>
  <c r="C3" i="5"/>
  <c r="C2" i="5"/>
  <c r="B5" i="4"/>
  <c r="B4" i="4"/>
  <c r="B3" i="4"/>
  <c r="B12" i="3"/>
  <c r="B11" i="3"/>
  <c r="B10" i="3"/>
  <c r="B5" i="3"/>
  <c r="B4" i="3"/>
  <c r="B3" i="3"/>
  <c r="B2" i="3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<sst xmlns="http://schemas.openxmlformats.org/spreadsheetml/2006/main" count="305" uniqueCount="190">
  <si>
    <t>Parameter</t>
  </si>
  <si>
    <t>Symbol</t>
  </si>
  <si>
    <t>Value</t>
  </si>
  <si>
    <t>Units</t>
  </si>
  <si>
    <t>Notes</t>
  </si>
  <si>
    <t>Feed gas temperature (H2)</t>
  </si>
  <si>
    <t>Feed gas temperature (O2)</t>
  </si>
  <si>
    <t>Regulator setpoint (H2)</t>
  </si>
  <si>
    <t>Regulator setpoint (O2)</t>
  </si>
  <si>
    <t>Torch back pressure (chamber)</t>
  </si>
  <si>
    <t>Orifice diameter (H2)</t>
  </si>
  <si>
    <t>Orifice diameter (O2)</t>
  </si>
  <si>
    <t>Discharge coefficient (H2)</t>
  </si>
  <si>
    <t>Discharge coefficient (O2)</t>
  </si>
  <si>
    <t>Torch exit area</t>
  </si>
  <si>
    <t>Chamber volume</t>
  </si>
  <si>
    <t>Run time</t>
  </si>
  <si>
    <t>Wall thickness (avg)</t>
  </si>
  <si>
    <t>Wall conductivity</t>
  </si>
  <si>
    <t>Wall density</t>
  </si>
  <si>
    <t>Wall c_p</t>
  </si>
  <si>
    <t>Ambient temperature</t>
  </si>
  <si>
    <t>Outside h (to ambient)</t>
  </si>
  <si>
    <t>Inside h (gas-side)</t>
  </si>
  <si>
    <t>Bolt size (major dia)</t>
  </si>
  <si>
    <t>Bolt material proof strength</t>
  </si>
  <si>
    <t>Number of bolts</t>
  </si>
  <si>
    <t>Nut factor K (torque)</t>
  </si>
  <si>
    <t>O-ring cross-section</t>
  </si>
  <si>
    <t>O-ring ID groove diameter</t>
  </si>
  <si>
    <t>Main chamber (engine) total pressure</t>
  </si>
  <si>
    <t>Main chamber (engine) total temperature</t>
  </si>
  <si>
    <t>Target equivalence ratio (torch)</t>
  </si>
  <si>
    <t>T0_H2</t>
  </si>
  <si>
    <t>T0_O2</t>
  </si>
  <si>
    <t>P0_H2</t>
  </si>
  <si>
    <t>P0_O2</t>
  </si>
  <si>
    <t>Pc_guess</t>
  </si>
  <si>
    <t>d_H2</t>
  </si>
  <si>
    <t>d_O2</t>
  </si>
  <si>
    <t>Cd_H2</t>
  </si>
  <si>
    <t>Cd_O2</t>
  </si>
  <si>
    <t>A_exit</t>
  </si>
  <si>
    <t>V_ch</t>
  </si>
  <si>
    <t>t_run</t>
  </si>
  <si>
    <t>t_wall</t>
  </si>
  <si>
    <t>k_wall</t>
  </si>
  <si>
    <t>rho_wall</t>
  </si>
  <si>
    <t>cp_wall</t>
  </si>
  <si>
    <t>T_amb</t>
  </si>
  <si>
    <t>h_out</t>
  </si>
  <si>
    <t>h_in</t>
  </si>
  <si>
    <t>d_bolt</t>
  </si>
  <si>
    <t>S_p</t>
  </si>
  <si>
    <t>N_bolts</t>
  </si>
  <si>
    <t>K_t</t>
  </si>
  <si>
    <t>CS</t>
  </si>
  <si>
    <t>D_g</t>
  </si>
  <si>
    <t>P_main</t>
  </si>
  <si>
    <t>T_main</t>
  </si>
  <si>
    <t>phi_target</t>
  </si>
  <si>
    <t>1.0</t>
  </si>
  <si>
    <t>K</t>
  </si>
  <si>
    <t>psi</t>
  </si>
  <si>
    <t>psia</t>
  </si>
  <si>
    <t>mm</t>
  </si>
  <si>
    <t>-</t>
  </si>
  <si>
    <t>mm^2</t>
  </si>
  <si>
    <t>mm^3</t>
  </si>
  <si>
    <t>s</t>
  </si>
  <si>
    <t>W/m-K</t>
  </si>
  <si>
    <t>kg/m^3</t>
  </si>
  <si>
    <t>J/kg-K</t>
  </si>
  <si>
    <t>W/m^2-K</t>
  </si>
  <si>
    <t>MPa</t>
  </si>
  <si>
    <t>Bottle/regulator outlet temperature</t>
  </si>
  <si>
    <t>Downstream of regulator upstream of orifice</t>
  </si>
  <si>
    <t>Initial guess. Will update with calcs</t>
  </si>
  <si>
    <t>Sharp-edged unless noted; set C_d below</t>
  </si>
  <si>
    <t>0.8–0.9 typical</t>
  </si>
  <si>
    <t>For jet velocity / choked check</t>
  </si>
  <si>
    <t>Internal torch plenum volume</t>
  </si>
  <si>
    <t>e.g., 316SS ≈ 16</t>
  </si>
  <si>
    <t>Outside convective sink</t>
  </si>
  <si>
    <t>Free convection estimate</t>
  </si>
  <si>
    <t>Torch-side convection estimate</t>
  </si>
  <si>
    <t>e.g., M6</t>
  </si>
  <si>
    <t>0.18–0.22 typical with lube</t>
  </si>
  <si>
    <t>AS568-0xx example</t>
  </si>
  <si>
    <t>For gland geometry</t>
  </si>
  <si>
    <t>For jet momentum vs crossflow</t>
  </si>
  <si>
    <t>Optional for Goal Seek</t>
  </si>
  <si>
    <t>Quantity</t>
  </si>
  <si>
    <t>Formula / Description</t>
  </si>
  <si>
    <t>Area_H2</t>
  </si>
  <si>
    <t>Area_O2</t>
  </si>
  <si>
    <t>P0_H2_Pa</t>
  </si>
  <si>
    <t>P0_O2_Pa</t>
  </si>
  <si>
    <t>gamma_H2</t>
  </si>
  <si>
    <t>gamma_O2</t>
  </si>
  <si>
    <t>R_H2</t>
  </si>
  <si>
    <t>R_O2</t>
  </si>
  <si>
    <t>Pc_Pa</t>
  </si>
  <si>
    <t>Crit_ratio_H2</t>
  </si>
  <si>
    <t>Crit_ratio_O2</t>
  </si>
  <si>
    <t>Choked_H2?</t>
  </si>
  <si>
    <t>Choked_O2?</t>
  </si>
  <si>
    <t>mdot_H2_choked</t>
  </si>
  <si>
    <t>mdot_O2_choked</t>
  </si>
  <si>
    <t>mdot_H2</t>
  </si>
  <si>
    <t>mdot_O2</t>
  </si>
  <si>
    <t>MR_OF</t>
  </si>
  <si>
    <t>phi_torch</t>
  </si>
  <si>
    <t>1.41</t>
  </si>
  <si>
    <t>1.40</t>
  </si>
  <si>
    <t>4124</t>
  </si>
  <si>
    <t>259.8</t>
  </si>
  <si>
    <t>m^2</t>
  </si>
  <si>
    <t>Pa</t>
  </si>
  <si>
    <t>1=choked</t>
  </si>
  <si>
    <t>kg/s</t>
  </si>
  <si>
    <t>O/F</t>
  </si>
  <si>
    <t>Formula / Link</t>
  </si>
  <si>
    <t>Total mdot</t>
  </si>
  <si>
    <t>phi (torch)</t>
  </si>
  <si>
    <t>Chamber pressure (est.)</t>
  </si>
  <si>
    <t>Adiabatic flame temperature Tad</t>
  </si>
  <si>
    <t>gamma_products</t>
  </si>
  <si>
    <t>Gas constant R_products</t>
  </si>
  <si>
    <t>Exit Mach (assume choked=1.0)</t>
  </si>
  <si>
    <t>Exit area A_exit</t>
  </si>
  <si>
    <t>Exit velocity U_exit</t>
  </si>
  <si>
    <t>Residence time (plenum)</t>
  </si>
  <si>
    <t>(paste from MATLAB)</t>
  </si>
  <si>
    <t>m/s</t>
  </si>
  <si>
    <t>Assumes H2/O2 stoich O/F=8 by mass</t>
  </si>
  <si>
    <t>Overwrite after combustion</t>
  </si>
  <si>
    <t>Placeholder</t>
  </si>
  <si>
    <t>V/m_dot * rho estimate (needs density)</t>
  </si>
  <si>
    <t>Characteristic length L* (input)</t>
  </si>
  <si>
    <t>Volume at L*</t>
  </si>
  <si>
    <t>Jet diameter (approx)</t>
  </si>
  <si>
    <t>Jet momentum ratio J</t>
  </si>
  <si>
    <t>(enter desired)</t>
  </si>
  <si>
    <t>m</t>
  </si>
  <si>
    <t>m^3</t>
  </si>
  <si>
    <t>V=L*·A_t; uses A_exit as proxy throat</t>
  </si>
  <si>
    <t>Rough vs main flow</t>
  </si>
  <si>
    <t>Input/Output</t>
  </si>
  <si>
    <t>Name</t>
  </si>
  <si>
    <t>input</t>
  </si>
  <si>
    <t>output</t>
  </si>
  <si>
    <t>Tad</t>
  </si>
  <si>
    <t>Pc</t>
  </si>
  <si>
    <t>A_inner</t>
  </si>
  <si>
    <t>Bi</t>
  </si>
  <si>
    <t>T_wall_inner_end</t>
  </si>
  <si>
    <t>T_wall_outer_end</t>
  </si>
  <si>
    <t>q_dot_to_ambient</t>
  </si>
  <si>
    <t>(from MATLAB)</t>
  </si>
  <si>
    <t>W</t>
  </si>
  <si>
    <t>from MATLAB combustion</t>
  </si>
  <si>
    <t>assumed surface area exposed</t>
  </si>
  <si>
    <t>Biot number</t>
  </si>
  <si>
    <t>Bolt circle diameter (BCD)</t>
  </si>
  <si>
    <t>Flange sealing diameter</t>
  </si>
  <si>
    <t>Internal pressure Pc</t>
  </si>
  <si>
    <t>Axial force from pressure</t>
  </si>
  <si>
    <t>Per-bolt preload target (70% proof)</t>
  </si>
  <si>
    <t>Torque per bolt</t>
  </si>
  <si>
    <t>Thread shear check</t>
  </si>
  <si>
    <t>O-ring gland temp (1D network)</t>
  </si>
  <si>
    <t>(enter)</t>
  </si>
  <si>
    <t>(calc in MATLAB optional)</t>
  </si>
  <si>
    <t>in</t>
  </si>
  <si>
    <t>lbf</t>
  </si>
  <si>
    <t>N</t>
  </si>
  <si>
    <t>N·m</t>
  </si>
  <si>
    <t>Mean diameter of sealed area</t>
  </si>
  <si>
    <t>approx</t>
  </si>
  <si>
    <t>T=K*F*D</t>
  </si>
  <si>
    <t>Instructions</t>
  </si>
  <si>
    <t>Use Excel Goal Seek or Solver:</t>
  </si>
  <si>
    <t>1) To hit a target phi (Inputs!C27) by adjusting P0_H2 (Inputs!C3):</t>
  </si>
  <si>
    <t xml:space="preserve">   - Set cell: Regs_Orifices!C24  (phi_torch)</t>
  </si>
  <si>
    <t xml:space="preserve">   - To value: (Inputs!C27)</t>
  </si>
  <si>
    <t xml:space="preserve">   - By changing cell: Inputs!C3 (or Inputs!C4)</t>
  </si>
  <si>
    <t>2) To hit a target mdot_total: set Torch_0D!C1 to value by changing Inputs!C3 and Inputs!C4 (Solver with 2 variables).</t>
  </si>
  <si>
    <t>3) Add constraints (Solver): Choked_H2? &gt;= 1, Choked_O2? &gt;= 1, Pc within bounds.</t>
  </si>
  <si>
    <t>Combustion &amp; Heat Transfer: paste MATLAB outputs into Torch_0D and Heat_Xfer sheets at the indicated cells or automate via CSV export/import.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</si>
</sst>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9"/>
  <sheetViews>
    <sheetView tabSelected="1" workbookViewId="0">
      <selection activeCell="A21" sqref="A21"/>
    </sheetView>
  </sheetViews>
  <sheetFormatPr defaultRowHeight="14.4" x14ac:dyDescent="0.3"/>
  <cols>
    <col min="1" max="1" width="35.21875" bestFit="1" customWidth="1"/>
    <col min="2" max="2" width="9.33203125" bestFit="1" customWidth="1"/>
    <col min="5" max="5" width="3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t="s">
        <v>33</v>
      </c>
      <c r="C2">
        <v>300</v>
      </c>
      <c r="D2" t="s">
        <v>62</v>
      </c>
      <c r="E2" t="s">
        <v>75</v>
      </c>
    </row>
    <row r="3" spans="1:5" x14ac:dyDescent="0.3">
      <c r="A3" s="2" t="s">
        <v>6</v>
      </c>
      <c r="B3" t="s">
        <v>34</v>
      </c>
      <c r="C3">
        <v>300</v>
      </c>
      <c r="D3" t="s">
        <v>62</v>
      </c>
    </row>
    <row r="4" spans="1:5" x14ac:dyDescent="0.3">
      <c r="A4" s="2" t="s">
        <v>7</v>
      </c>
      <c r="B4" t="s">
        <v>35</v>
      </c>
      <c r="C4">
        <v>300</v>
      </c>
      <c r="D4" t="s">
        <v>63</v>
      </c>
      <c r="E4" t="s">
        <v>76</v>
      </c>
    </row>
    <row r="5" spans="1:5" x14ac:dyDescent="0.3">
      <c r="A5" s="2" t="s">
        <v>8</v>
      </c>
      <c r="B5" t="s">
        <v>36</v>
      </c>
      <c r="C5">
        <v>300</v>
      </c>
      <c r="D5" t="s">
        <v>63</v>
      </c>
    </row>
    <row r="6" spans="1:5" x14ac:dyDescent="0.3">
      <c r="A6" s="2" t="s">
        <v>9</v>
      </c>
      <c r="B6" t="s">
        <v>37</v>
      </c>
      <c r="C6">
        <v>60</v>
      </c>
      <c r="D6" t="s">
        <v>64</v>
      </c>
      <c r="E6" t="s">
        <v>77</v>
      </c>
    </row>
    <row r="7" spans="1:5" x14ac:dyDescent="0.3">
      <c r="A7" s="2" t="s">
        <v>10</v>
      </c>
      <c r="B7" t="s">
        <v>38</v>
      </c>
      <c r="C7">
        <v>0.8</v>
      </c>
      <c r="D7" t="s">
        <v>65</v>
      </c>
      <c r="E7" t="s">
        <v>78</v>
      </c>
    </row>
    <row r="8" spans="1:5" x14ac:dyDescent="0.3">
      <c r="A8" s="2" t="s">
        <v>11</v>
      </c>
      <c r="B8" t="s">
        <v>39</v>
      </c>
      <c r="C8">
        <v>0.8</v>
      </c>
      <c r="D8" t="s">
        <v>65</v>
      </c>
    </row>
    <row r="9" spans="1:5" x14ac:dyDescent="0.3">
      <c r="A9" s="2" t="s">
        <v>12</v>
      </c>
      <c r="B9" t="s">
        <v>40</v>
      </c>
      <c r="C9">
        <v>0.85</v>
      </c>
      <c r="D9" t="s">
        <v>66</v>
      </c>
      <c r="E9" t="s">
        <v>79</v>
      </c>
    </row>
    <row r="10" spans="1:5" x14ac:dyDescent="0.3">
      <c r="A10" s="2" t="s">
        <v>13</v>
      </c>
      <c r="B10" t="s">
        <v>41</v>
      </c>
      <c r="C10">
        <v>0.85</v>
      </c>
      <c r="D10" t="s">
        <v>66</v>
      </c>
    </row>
    <row r="11" spans="1:5" x14ac:dyDescent="0.3">
      <c r="A11" s="2" t="s">
        <v>14</v>
      </c>
      <c r="B11" t="s">
        <v>42</v>
      </c>
      <c r="C11">
        <v>30</v>
      </c>
      <c r="D11" t="s">
        <v>67</v>
      </c>
      <c r="E11" t="s">
        <v>80</v>
      </c>
    </row>
    <row r="12" spans="1:5" x14ac:dyDescent="0.3">
      <c r="A12" s="2" t="s">
        <v>15</v>
      </c>
      <c r="B12" t="s">
        <v>43</v>
      </c>
      <c r="C12">
        <v>10000</v>
      </c>
      <c r="D12" t="s">
        <v>68</v>
      </c>
      <c r="E12" t="s">
        <v>81</v>
      </c>
    </row>
    <row r="13" spans="1:5" x14ac:dyDescent="0.3">
      <c r="A13" s="2" t="s">
        <v>16</v>
      </c>
      <c r="B13" t="s">
        <v>44</v>
      </c>
      <c r="C13">
        <v>1</v>
      </c>
      <c r="D13" t="s">
        <v>69</v>
      </c>
    </row>
    <row r="14" spans="1:5" x14ac:dyDescent="0.3">
      <c r="A14" s="2" t="s">
        <v>17</v>
      </c>
      <c r="B14" t="s">
        <v>45</v>
      </c>
      <c r="C14">
        <v>1.5</v>
      </c>
      <c r="D14" t="s">
        <v>65</v>
      </c>
    </row>
    <row r="15" spans="1:5" x14ac:dyDescent="0.3">
      <c r="A15" s="2" t="s">
        <v>18</v>
      </c>
      <c r="B15" t="s">
        <v>46</v>
      </c>
      <c r="C15">
        <v>16</v>
      </c>
      <c r="D15" t="s">
        <v>70</v>
      </c>
      <c r="E15" t="s">
        <v>82</v>
      </c>
    </row>
    <row r="16" spans="1:5" x14ac:dyDescent="0.3">
      <c r="A16" s="2" t="s">
        <v>19</v>
      </c>
      <c r="B16" t="s">
        <v>47</v>
      </c>
      <c r="C16">
        <v>8000</v>
      </c>
      <c r="D16" t="s">
        <v>71</v>
      </c>
    </row>
    <row r="17" spans="1:5" x14ac:dyDescent="0.3">
      <c r="A17" s="2" t="s">
        <v>20</v>
      </c>
      <c r="B17" t="s">
        <v>48</v>
      </c>
      <c r="C17">
        <v>500</v>
      </c>
      <c r="D17" t="s">
        <v>72</v>
      </c>
    </row>
    <row r="18" spans="1:5" x14ac:dyDescent="0.3">
      <c r="A18" s="2" t="s">
        <v>21</v>
      </c>
      <c r="B18" t="s">
        <v>49</v>
      </c>
      <c r="C18">
        <v>295</v>
      </c>
      <c r="D18" t="s">
        <v>62</v>
      </c>
      <c r="E18" t="s">
        <v>83</v>
      </c>
    </row>
    <row r="19" spans="1:5" x14ac:dyDescent="0.3">
      <c r="A19" t="s">
        <v>22</v>
      </c>
      <c r="B19" t="s">
        <v>50</v>
      </c>
      <c r="C19">
        <v>10</v>
      </c>
      <c r="D19" t="s">
        <v>73</v>
      </c>
      <c r="E19" t="s">
        <v>84</v>
      </c>
    </row>
    <row r="20" spans="1:5" x14ac:dyDescent="0.3">
      <c r="A20" t="s">
        <v>23</v>
      </c>
      <c r="B20" t="s">
        <v>51</v>
      </c>
      <c r="C20">
        <v>12000</v>
      </c>
      <c r="D20" t="s">
        <v>73</v>
      </c>
      <c r="E20" t="s">
        <v>85</v>
      </c>
    </row>
    <row r="21" spans="1:5" x14ac:dyDescent="0.3">
      <c r="A21" t="s">
        <v>24</v>
      </c>
      <c r="B21" t="s">
        <v>52</v>
      </c>
      <c r="C21">
        <v>6</v>
      </c>
      <c r="D21" t="s">
        <v>65</v>
      </c>
      <c r="E21" t="s">
        <v>86</v>
      </c>
    </row>
    <row r="22" spans="1:5" x14ac:dyDescent="0.3">
      <c r="A22" t="s">
        <v>25</v>
      </c>
      <c r="B22" t="s">
        <v>53</v>
      </c>
      <c r="C22">
        <v>650</v>
      </c>
      <c r="D22" t="s">
        <v>74</v>
      </c>
    </row>
    <row r="23" spans="1:5" x14ac:dyDescent="0.3">
      <c r="A23" t="s">
        <v>26</v>
      </c>
      <c r="B23" t="s">
        <v>54</v>
      </c>
      <c r="C23">
        <v>6</v>
      </c>
      <c r="D23" t="s">
        <v>66</v>
      </c>
    </row>
    <row r="24" spans="1:5" x14ac:dyDescent="0.3">
      <c r="A24" t="s">
        <v>27</v>
      </c>
      <c r="B24" t="s">
        <v>55</v>
      </c>
      <c r="C24">
        <v>0.18</v>
      </c>
      <c r="D24" t="s">
        <v>66</v>
      </c>
      <c r="E24" t="s">
        <v>87</v>
      </c>
    </row>
    <row r="25" spans="1:5" x14ac:dyDescent="0.3">
      <c r="A25" t="s">
        <v>28</v>
      </c>
      <c r="B25" t="s">
        <v>56</v>
      </c>
      <c r="C25">
        <v>2.62</v>
      </c>
      <c r="D25" t="s">
        <v>65</v>
      </c>
      <c r="E25" t="s">
        <v>88</v>
      </c>
    </row>
    <row r="26" spans="1:5" x14ac:dyDescent="0.3">
      <c r="A26" t="s">
        <v>29</v>
      </c>
      <c r="B26" t="s">
        <v>57</v>
      </c>
      <c r="C26">
        <v>26</v>
      </c>
      <c r="D26" t="s">
        <v>65</v>
      </c>
      <c r="E26" t="s">
        <v>89</v>
      </c>
    </row>
    <row r="27" spans="1:5" x14ac:dyDescent="0.3">
      <c r="A27" s="2" t="s">
        <v>30</v>
      </c>
      <c r="B27" t="s">
        <v>58</v>
      </c>
      <c r="C27">
        <v>300</v>
      </c>
      <c r="D27" t="s">
        <v>64</v>
      </c>
      <c r="E27" t="s">
        <v>90</v>
      </c>
    </row>
    <row r="28" spans="1:5" x14ac:dyDescent="0.3">
      <c r="A28" s="2" t="s">
        <v>31</v>
      </c>
      <c r="B28" t="s">
        <v>59</v>
      </c>
      <c r="C28">
        <v>1000</v>
      </c>
      <c r="D28" t="s">
        <v>62</v>
      </c>
    </row>
    <row r="29" spans="1:5" x14ac:dyDescent="0.3">
      <c r="A29" s="2" t="s">
        <v>32</v>
      </c>
      <c r="B29" t="s">
        <v>60</v>
      </c>
      <c r="C29">
        <v>2</v>
      </c>
      <c r="D29" t="s">
        <v>66</v>
      </c>
      <c r="E2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4"/>
  <sheetViews>
    <sheetView workbookViewId="0"/>
  </sheetViews>
  <sheetFormatPr defaultRowHeight="14.4" x14ac:dyDescent="0.3"/>
  <sheetData>
    <row r="1" spans="1:4" x14ac:dyDescent="0.3">
      <c r="A1" s="1" t="s">
        <v>92</v>
      </c>
      <c r="B1" s="1" t="s">
        <v>93</v>
      </c>
      <c r="C1" s="1" t="s">
        <v>2</v>
      </c>
      <c r="D1" s="1" t="s">
        <v>3</v>
      </c>
    </row>
    <row r="2" spans="1:4" x14ac:dyDescent="0.3">
      <c r="A2" t="s">
        <v>94</v>
      </c>
      <c r="B2">
        <f>PI()*(INDEX(Inputs!C:C,6)/1000/2)^2</f>
        <v>2.8274333882308137E-3</v>
      </c>
      <c r="D2" t="s">
        <v>117</v>
      </c>
    </row>
    <row r="3" spans="1:4" x14ac:dyDescent="0.3">
      <c r="A3" t="s">
        <v>95</v>
      </c>
      <c r="B3">
        <f>PI()*(INDEX(Inputs!C:C,7)/1000/2)^2</f>
        <v>5.0265482457436689E-7</v>
      </c>
      <c r="D3" t="s">
        <v>117</v>
      </c>
    </row>
    <row r="4" spans="1:4" x14ac:dyDescent="0.3">
      <c r="A4" t="s">
        <v>96</v>
      </c>
      <c r="B4">
        <f>INDEX(Inputs!C:C,3)*6894.757</f>
        <v>2068427.0999999999</v>
      </c>
      <c r="D4" t="s">
        <v>118</v>
      </c>
    </row>
    <row r="5" spans="1:4" x14ac:dyDescent="0.3">
      <c r="A5" t="s">
        <v>97</v>
      </c>
      <c r="B5">
        <f>INDEX(Inputs!C:C,4)*6894.757</f>
        <v>2068427.0999999999</v>
      </c>
      <c r="D5" t="s">
        <v>118</v>
      </c>
    </row>
    <row r="6" spans="1:4" x14ac:dyDescent="0.3">
      <c r="A6" t="s">
        <v>33</v>
      </c>
      <c r="B6" t="str">
        <f>INDEX(Inputs!C:C,1)</f>
        <v>Value</v>
      </c>
      <c r="D6" t="s">
        <v>62</v>
      </c>
    </row>
    <row r="7" spans="1:4" x14ac:dyDescent="0.3">
      <c r="A7" t="s">
        <v>34</v>
      </c>
      <c r="B7">
        <f>INDEX(Inputs!C:C,2)</f>
        <v>300</v>
      </c>
      <c r="D7" t="s">
        <v>62</v>
      </c>
    </row>
    <row r="8" spans="1:4" x14ac:dyDescent="0.3">
      <c r="A8" t="s">
        <v>98</v>
      </c>
      <c r="B8" t="s">
        <v>113</v>
      </c>
      <c r="D8" t="s">
        <v>66</v>
      </c>
    </row>
    <row r="9" spans="1:4" x14ac:dyDescent="0.3">
      <c r="A9" t="s">
        <v>99</v>
      </c>
      <c r="B9" t="s">
        <v>114</v>
      </c>
      <c r="D9" t="s">
        <v>66</v>
      </c>
    </row>
    <row r="10" spans="1:4" x14ac:dyDescent="0.3">
      <c r="A10" t="s">
        <v>100</v>
      </c>
      <c r="B10" t="s">
        <v>115</v>
      </c>
      <c r="D10" t="s">
        <v>72</v>
      </c>
    </row>
    <row r="11" spans="1:4" x14ac:dyDescent="0.3">
      <c r="A11" t="s">
        <v>101</v>
      </c>
      <c r="B11" t="s">
        <v>116</v>
      </c>
      <c r="D11" t="s">
        <v>72</v>
      </c>
    </row>
    <row r="12" spans="1:4" x14ac:dyDescent="0.3">
      <c r="A12" t="s">
        <v>40</v>
      </c>
      <c r="B12">
        <f>INDEX(Inputs!C:C,8)</f>
        <v>0.8</v>
      </c>
      <c r="D12" t="s">
        <v>66</v>
      </c>
    </row>
    <row r="13" spans="1:4" x14ac:dyDescent="0.3">
      <c r="A13" t="s">
        <v>41</v>
      </c>
      <c r="B13">
        <f>INDEX(Inputs!C:C,9)</f>
        <v>0.85</v>
      </c>
      <c r="D13" t="s">
        <v>66</v>
      </c>
    </row>
    <row r="14" spans="1:4" x14ac:dyDescent="0.3">
      <c r="A14" t="s">
        <v>102</v>
      </c>
      <c r="B14">
        <f>INDEX(Inputs!C:C,5)*6894.757</f>
        <v>2068427.0999999999</v>
      </c>
      <c r="D14" t="s">
        <v>118</v>
      </c>
    </row>
    <row r="15" spans="1:4" x14ac:dyDescent="0.3">
      <c r="A15" t="s">
        <v>103</v>
      </c>
      <c r="B15">
        <f>(2/(1+INDEX(Regs_Orifices!C:C,7)))^(INDEX(Regs_Orifices!C:C,7)/(INDEX(Regs_Orifices!C:C,7)-1))</f>
        <v>1</v>
      </c>
      <c r="D15" t="s">
        <v>66</v>
      </c>
    </row>
    <row r="16" spans="1:4" x14ac:dyDescent="0.3">
      <c r="A16" t="s">
        <v>104</v>
      </c>
      <c r="B16">
        <f>(2/(1+INDEX(Regs_Orifices!C:C,8)))^(INDEX(Regs_Orifices!C:C,8)/(INDEX(Regs_Orifices!C:C,8)-1))</f>
        <v>1</v>
      </c>
      <c r="D16" t="s">
        <v>66</v>
      </c>
    </row>
    <row r="17" spans="1:4" x14ac:dyDescent="0.3">
      <c r="A17" t="s">
        <v>105</v>
      </c>
      <c r="B17" t="e">
        <f>IF(Regs_Orifices!C13/Regs_Orifices!C3&lt;Regs_Orifices!C14,1,0)</f>
        <v>#DIV/0!</v>
      </c>
      <c r="D17" t="s">
        <v>119</v>
      </c>
    </row>
    <row r="18" spans="1:4" x14ac:dyDescent="0.3">
      <c r="A18" t="s">
        <v>106</v>
      </c>
      <c r="B18" t="e">
        <f>IF(Regs_Orifices!C13/Regs_Orifices!C4&lt;Regs_Orifices!C15,1,0)</f>
        <v>#DIV/0!</v>
      </c>
      <c r="D18" t="s">
        <v>119</v>
      </c>
    </row>
    <row r="19" spans="1:4" x14ac:dyDescent="0.3">
      <c r="A19" t="s">
        <v>107</v>
      </c>
      <c r="B19" t="e">
        <f>INDEX(Regs_Orifices!C:C,11)*INDEX(Regs_Orifices!C:C,1)*INDEX(Regs_Orifices!C:C,3)/SQRT(INDEX(Regs_Orifices!C:C,5))*SQRT(INDEX(Regs_Orifices!C:C,7)/INDEX(Regs_Orifices!C:C,9))*(2/(1+INDEX(Regs_Orifices!C:C,7)))^((INDEX(Regs_Orifices!C:C,7)+1)/(2*(INDEX(Regs_Orifices!C:C,7)-1)))</f>
        <v>#VALUE!</v>
      </c>
      <c r="D19" t="s">
        <v>120</v>
      </c>
    </row>
    <row r="20" spans="1:4" x14ac:dyDescent="0.3">
      <c r="A20" t="s">
        <v>108</v>
      </c>
      <c r="B20" t="e">
        <f>INDEX(Regs_Orifices!C:C,12)*INDEX(Regs_Orifices!C:C,2)*INDEX(Regs_Orifices!C:C,4)/SQRT(INDEX(Regs_Orifices!C:C,6))*SQRT(INDEX(Regs_Orifices!C:C,8)/INDEX(Regs_Orifices!C:C,10))*(2/(1+INDEX(Regs_Orifices!C:C,8)))^((INDEX(Regs_Orifices!C:C,8)+1)/(2*(INDEX(Regs_Orifices!C:C,8)-1)))</f>
        <v>#DIV/0!</v>
      </c>
      <c r="D20" t="s">
        <v>120</v>
      </c>
    </row>
    <row r="21" spans="1:4" x14ac:dyDescent="0.3">
      <c r="A21" t="s">
        <v>109</v>
      </c>
      <c r="B21" t="e">
        <f>IF(Regs_Orifices!C16=1,Regs_Orifices!C18,NA())</f>
        <v>#N/A</v>
      </c>
      <c r="D21" t="s">
        <v>120</v>
      </c>
    </row>
    <row r="22" spans="1:4" x14ac:dyDescent="0.3">
      <c r="A22" t="s">
        <v>110</v>
      </c>
      <c r="B22" t="e">
        <f>IF(Regs_Orifices!C17=1,Regs_Orifices!C19,NA())</f>
        <v>#N/A</v>
      </c>
      <c r="D22" t="s">
        <v>120</v>
      </c>
    </row>
    <row r="23" spans="1:4" x14ac:dyDescent="0.3">
      <c r="A23" t="s">
        <v>111</v>
      </c>
      <c r="B23" t="e">
        <f>Regs_Orifices!C22/Regs_Orifices!C21</f>
        <v>#DIV/0!</v>
      </c>
      <c r="D23" t="s">
        <v>121</v>
      </c>
    </row>
    <row r="24" spans="1:4" x14ac:dyDescent="0.3">
      <c r="A24" t="s">
        <v>112</v>
      </c>
      <c r="B24">
        <f>INDEX(Inputs!C:C,27)</f>
        <v>300</v>
      </c>
      <c r="D2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2"/>
  <sheetViews>
    <sheetView workbookViewId="0">
      <selection activeCell="C4" sqref="C4"/>
    </sheetView>
  </sheetViews>
  <sheetFormatPr defaultRowHeight="14.4" x14ac:dyDescent="0.3"/>
  <cols>
    <col min="1" max="1" width="28.21875" bestFit="1" customWidth="1"/>
    <col min="2" max="2" width="18.5546875" bestFit="1" customWidth="1"/>
    <col min="3" max="3" width="5.77734375" bestFit="1" customWidth="1"/>
    <col min="5" max="5" width="33.6640625" bestFit="1" customWidth="1"/>
  </cols>
  <sheetData>
    <row r="1" spans="1:5" x14ac:dyDescent="0.3">
      <c r="A1" s="1" t="s">
        <v>92</v>
      </c>
      <c r="B1" s="1" t="s">
        <v>122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123</v>
      </c>
      <c r="B2">
        <f>Regs_Orifices!C21+Regs_Orifices!C22</f>
        <v>0</v>
      </c>
      <c r="D2" t="s">
        <v>120</v>
      </c>
    </row>
    <row r="3" spans="1:5" x14ac:dyDescent="0.3">
      <c r="A3" t="s">
        <v>121</v>
      </c>
      <c r="B3">
        <f>Regs_Orifices!C23</f>
        <v>0</v>
      </c>
      <c r="D3" t="s">
        <v>66</v>
      </c>
    </row>
    <row r="4" spans="1:5" x14ac:dyDescent="0.3">
      <c r="A4" t="s">
        <v>124</v>
      </c>
      <c r="B4" t="e">
        <f>1/(Torch_0D!C2*8/1)</f>
        <v>#DIV/0!</v>
      </c>
      <c r="D4" t="s">
        <v>66</v>
      </c>
      <c r="E4" t="s">
        <v>135</v>
      </c>
    </row>
    <row r="5" spans="1:5" x14ac:dyDescent="0.3">
      <c r="A5" t="s">
        <v>125</v>
      </c>
      <c r="B5">
        <f>INDEX(Inputs!C:C,5)</f>
        <v>300</v>
      </c>
      <c r="D5" t="s">
        <v>64</v>
      </c>
      <c r="E5" t="s">
        <v>136</v>
      </c>
    </row>
    <row r="6" spans="1:5" x14ac:dyDescent="0.3">
      <c r="A6" t="s">
        <v>126</v>
      </c>
      <c r="B6" t="s">
        <v>133</v>
      </c>
      <c r="D6" t="s">
        <v>62</v>
      </c>
    </row>
    <row r="7" spans="1:5" x14ac:dyDescent="0.3">
      <c r="A7" t="s">
        <v>127</v>
      </c>
      <c r="B7" t="s">
        <v>133</v>
      </c>
      <c r="D7" t="s">
        <v>66</v>
      </c>
    </row>
    <row r="8" spans="1:5" x14ac:dyDescent="0.3">
      <c r="A8" t="s">
        <v>128</v>
      </c>
      <c r="B8" t="s">
        <v>133</v>
      </c>
      <c r="D8" t="s">
        <v>72</v>
      </c>
    </row>
    <row r="9" spans="1:5" x14ac:dyDescent="0.3">
      <c r="A9" t="s">
        <v>129</v>
      </c>
      <c r="B9" t="s">
        <v>61</v>
      </c>
      <c r="D9" t="s">
        <v>66</v>
      </c>
    </row>
    <row r="10" spans="1:5" x14ac:dyDescent="0.3">
      <c r="A10" t="s">
        <v>130</v>
      </c>
      <c r="B10">
        <f>INDEX(Inputs!C:C,10)/1000000</f>
        <v>8.5000000000000001E-7</v>
      </c>
      <c r="D10" t="s">
        <v>117</v>
      </c>
    </row>
    <row r="11" spans="1:5" x14ac:dyDescent="0.3">
      <c r="A11" t="s">
        <v>131</v>
      </c>
      <c r="B11" t="str">
        <f>IF(Torch_0D!C8=1, SQRT(Torch_0D!C6*Torch_0D!C5*1000), "needs MATLAB" )</f>
        <v>needs MATLAB</v>
      </c>
      <c r="D11" t="s">
        <v>134</v>
      </c>
      <c r="E11" t="s">
        <v>137</v>
      </c>
    </row>
    <row r="12" spans="1:5" x14ac:dyDescent="0.3">
      <c r="A12" t="s">
        <v>132</v>
      </c>
      <c r="B12" t="e">
        <f>INDEX(Inputs!C:C,12)/ (Torch_0D!C1 / Torch_0D!C11)</f>
        <v>#VALUE!</v>
      </c>
      <c r="D12" t="s">
        <v>69</v>
      </c>
      <c r="E1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16"/>
  <sheetViews>
    <sheetView workbookViewId="0">
      <selection activeCell="C2" sqref="C2"/>
    </sheetView>
  </sheetViews>
  <sheetFormatPr defaultRowHeight="14.4" x14ac:dyDescent="0.3"/>
  <cols>
    <col min="5" max="5" width="26.33203125" bestFit="1" customWidth="1"/>
  </cols>
  <sheetData>
    <row r="1" spans="1:5" x14ac:dyDescent="0.3">
      <c r="A1" s="1" t="s">
        <v>148</v>
      </c>
      <c r="B1" s="1" t="s">
        <v>149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150</v>
      </c>
      <c r="B2" t="s">
        <v>152</v>
      </c>
      <c r="C2">
        <f>Torch_0D!C5</f>
        <v>0</v>
      </c>
      <c r="D2" t="s">
        <v>62</v>
      </c>
      <c r="E2" t="s">
        <v>161</v>
      </c>
    </row>
    <row r="3" spans="1:5" x14ac:dyDescent="0.3">
      <c r="A3" t="s">
        <v>150</v>
      </c>
      <c r="B3" t="s">
        <v>153</v>
      </c>
      <c r="C3">
        <f>Torch_0D!C4</f>
        <v>0</v>
      </c>
      <c r="D3" t="s">
        <v>64</v>
      </c>
    </row>
    <row r="4" spans="1:5" x14ac:dyDescent="0.3">
      <c r="A4" t="s">
        <v>150</v>
      </c>
      <c r="B4" t="s">
        <v>154</v>
      </c>
      <c r="C4">
        <f>Torch_0D!C11</f>
        <v>0</v>
      </c>
      <c r="D4" t="s">
        <v>117</v>
      </c>
      <c r="E4" t="s">
        <v>162</v>
      </c>
    </row>
    <row r="5" spans="1:5" x14ac:dyDescent="0.3">
      <c r="A5" t="s">
        <v>150</v>
      </c>
      <c r="B5" t="s">
        <v>51</v>
      </c>
      <c r="C5">
        <f>INDEX(Inputs!C:C,19)</f>
        <v>10</v>
      </c>
      <c r="D5" t="s">
        <v>73</v>
      </c>
    </row>
    <row r="6" spans="1:5" x14ac:dyDescent="0.3">
      <c r="A6" t="s">
        <v>150</v>
      </c>
      <c r="B6" t="s">
        <v>50</v>
      </c>
      <c r="C6">
        <f>INDEX(Inputs!C:C,18)</f>
        <v>295</v>
      </c>
      <c r="D6" t="s">
        <v>73</v>
      </c>
    </row>
    <row r="7" spans="1:5" x14ac:dyDescent="0.3">
      <c r="A7" t="s">
        <v>150</v>
      </c>
      <c r="B7" t="s">
        <v>45</v>
      </c>
      <c r="C7">
        <f>INDEX(Inputs!C:C,13)/1000</f>
        <v>1E-3</v>
      </c>
      <c r="D7" t="s">
        <v>144</v>
      </c>
    </row>
    <row r="8" spans="1:5" x14ac:dyDescent="0.3">
      <c r="A8" t="s">
        <v>150</v>
      </c>
      <c r="B8" t="s">
        <v>46</v>
      </c>
      <c r="C8">
        <f>INDEX(Inputs!C:C,14)</f>
        <v>1.5</v>
      </c>
      <c r="D8" t="s">
        <v>70</v>
      </c>
    </row>
    <row r="9" spans="1:5" x14ac:dyDescent="0.3">
      <c r="A9" t="s">
        <v>150</v>
      </c>
      <c r="B9" t="s">
        <v>47</v>
      </c>
      <c r="C9">
        <f>INDEX(Inputs!C:C,15)</f>
        <v>16</v>
      </c>
      <c r="D9" t="s">
        <v>71</v>
      </c>
    </row>
    <row r="10" spans="1:5" x14ac:dyDescent="0.3">
      <c r="A10" t="s">
        <v>150</v>
      </c>
      <c r="B10" t="s">
        <v>48</v>
      </c>
      <c r="C10">
        <f>INDEX(Inputs!C:C,16)</f>
        <v>8000</v>
      </c>
      <c r="D10" t="s">
        <v>72</v>
      </c>
    </row>
    <row r="11" spans="1:5" x14ac:dyDescent="0.3">
      <c r="A11" t="s">
        <v>150</v>
      </c>
      <c r="B11" t="s">
        <v>49</v>
      </c>
      <c r="C11">
        <f>INDEX(Inputs!C:C,17)</f>
        <v>500</v>
      </c>
      <c r="D11" t="s">
        <v>62</v>
      </c>
    </row>
    <row r="12" spans="1:5" x14ac:dyDescent="0.3">
      <c r="A12" t="s">
        <v>150</v>
      </c>
      <c r="B12" t="s">
        <v>44</v>
      </c>
      <c r="C12">
        <f>INDEX(Inputs!C:C,12)</f>
        <v>10000</v>
      </c>
      <c r="D12" t="s">
        <v>69</v>
      </c>
    </row>
    <row r="13" spans="1:5" x14ac:dyDescent="0.3">
      <c r="A13" t="s">
        <v>151</v>
      </c>
      <c r="B13" t="s">
        <v>155</v>
      </c>
      <c r="C13" t="s">
        <v>159</v>
      </c>
      <c r="D13" t="s">
        <v>66</v>
      </c>
      <c r="E13" t="s">
        <v>163</v>
      </c>
    </row>
    <row r="14" spans="1:5" x14ac:dyDescent="0.3">
      <c r="A14" t="s">
        <v>151</v>
      </c>
      <c r="B14" t="s">
        <v>156</v>
      </c>
      <c r="C14" t="s">
        <v>159</v>
      </c>
      <c r="D14" t="s">
        <v>62</v>
      </c>
    </row>
    <row r="15" spans="1:5" x14ac:dyDescent="0.3">
      <c r="A15" t="s">
        <v>151</v>
      </c>
      <c r="B15" t="s">
        <v>157</v>
      </c>
      <c r="C15" t="s">
        <v>159</v>
      </c>
      <c r="D15" t="s">
        <v>62</v>
      </c>
    </row>
    <row r="16" spans="1:5" x14ac:dyDescent="0.3">
      <c r="A16" t="s">
        <v>151</v>
      </c>
      <c r="B16" t="s">
        <v>158</v>
      </c>
      <c r="C16" t="s">
        <v>159</v>
      </c>
      <c r="D16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5"/>
  <sheetViews>
    <sheetView workbookViewId="0">
      <selection activeCell="B5" sqref="B5"/>
    </sheetView>
  </sheetViews>
  <sheetFormatPr defaultRowHeight="14.4" x14ac:dyDescent="0.3"/>
  <cols>
    <col min="1" max="1" width="26.109375" bestFit="1" customWidth="1"/>
    <col min="2" max="2" width="19.33203125" bestFit="1" customWidth="1"/>
  </cols>
  <sheetData>
    <row r="1" spans="1:5" x14ac:dyDescent="0.3">
      <c r="A1" s="1" t="s">
        <v>92</v>
      </c>
      <c r="B1" s="1" t="s">
        <v>93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139</v>
      </c>
      <c r="B2" t="s">
        <v>143</v>
      </c>
      <c r="D2" t="s">
        <v>144</v>
      </c>
    </row>
    <row r="3" spans="1:5" x14ac:dyDescent="0.3">
      <c r="A3" t="s">
        <v>140</v>
      </c>
      <c r="B3" t="e">
        <f>Jet_Lstar!C1*Torch_0D!C11</f>
        <v>#VALUE!</v>
      </c>
      <c r="D3" t="s">
        <v>145</v>
      </c>
      <c r="E3" t="s">
        <v>146</v>
      </c>
    </row>
    <row r="4" spans="1:5" x14ac:dyDescent="0.3">
      <c r="A4" t="s">
        <v>141</v>
      </c>
      <c r="B4">
        <f>2*SQRT(Torch_0D!C11/PI())</f>
        <v>0</v>
      </c>
      <c r="D4" t="s">
        <v>144</v>
      </c>
    </row>
    <row r="5" spans="1:5" x14ac:dyDescent="0.3">
      <c r="A5" t="s">
        <v>142</v>
      </c>
      <c r="B5" t="e">
        <f>(Torch_0D!C1*Torch_0D!C10)/(PI()*(Jet_Lstar!C3/2)^2 * SQRT(287*INDEX(Inputs!C:C,28)*INDEX(Inputs!C:C,29)))</f>
        <v>#VALUE!</v>
      </c>
      <c r="D5" t="s">
        <v>66</v>
      </c>
      <c r="E5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9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93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164</v>
      </c>
      <c r="B2" t="s">
        <v>172</v>
      </c>
      <c r="D2" t="s">
        <v>174</v>
      </c>
    </row>
    <row r="3" spans="1:5" x14ac:dyDescent="0.3">
      <c r="A3" t="s">
        <v>165</v>
      </c>
      <c r="B3" t="s">
        <v>172</v>
      </c>
      <c r="D3" t="s">
        <v>174</v>
      </c>
      <c r="E3" t="s">
        <v>178</v>
      </c>
    </row>
    <row r="4" spans="1:5" x14ac:dyDescent="0.3">
      <c r="A4" t="s">
        <v>166</v>
      </c>
      <c r="B4">
        <f>Torch_0D!C4</f>
        <v>0</v>
      </c>
      <c r="D4" t="s">
        <v>64</v>
      </c>
    </row>
    <row r="5" spans="1:5" x14ac:dyDescent="0.3">
      <c r="A5" t="s">
        <v>167</v>
      </c>
      <c r="B5">
        <f>PI()* ( (Bolts_Seals!C2/2)^2 ) *  (Bolts_Seals!C3)</f>
        <v>0</v>
      </c>
      <c r="D5" t="s">
        <v>175</v>
      </c>
    </row>
    <row r="6" spans="1:5" x14ac:dyDescent="0.3">
      <c r="A6" t="s">
        <v>168</v>
      </c>
      <c r="B6">
        <f>0.7*INDEX(Inputs!C:C,21)* (PI()/4)*(INDEX(Inputs!C:C,20)/1000/25.4)^2</f>
        <v>0.73626512682555756</v>
      </c>
      <c r="D6" t="s">
        <v>176</v>
      </c>
      <c r="E6" t="s">
        <v>179</v>
      </c>
    </row>
    <row r="7" spans="1:5" x14ac:dyDescent="0.3">
      <c r="A7" t="s">
        <v>169</v>
      </c>
      <c r="B7">
        <f>INDEX(Inputs!C:C,24)*Bolts_Seals!C5*(INDEX(Inputs!C:C,20)/1000)</f>
        <v>0</v>
      </c>
      <c r="D7" t="s">
        <v>177</v>
      </c>
      <c r="E7" t="s">
        <v>180</v>
      </c>
    </row>
    <row r="8" spans="1:5" x14ac:dyDescent="0.3">
      <c r="A8" t="s">
        <v>170</v>
      </c>
      <c r="B8" t="s">
        <v>173</v>
      </c>
      <c r="D8" t="s">
        <v>66</v>
      </c>
    </row>
    <row r="9" spans="1:5" x14ac:dyDescent="0.3">
      <c r="A9" t="s">
        <v>171</v>
      </c>
      <c r="B9" t="s">
        <v>159</v>
      </c>
      <c r="D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10"/>
  <sheetViews>
    <sheetView workbookViewId="0">
      <selection activeCell="I10" sqref="I10"/>
    </sheetView>
  </sheetViews>
  <sheetFormatPr defaultRowHeight="14.4" x14ac:dyDescent="0.3"/>
  <sheetData>
    <row r="1" spans="1:1" x14ac:dyDescent="0.3">
      <c r="A1" s="1" t="s">
        <v>181</v>
      </c>
    </row>
    <row r="2" spans="1:1" x14ac:dyDescent="0.3">
      <c r="A2" t="s">
        <v>182</v>
      </c>
    </row>
    <row r="3" spans="1:1" x14ac:dyDescent="0.3">
      <c r="A3" t="s">
        <v>183</v>
      </c>
    </row>
    <row r="4" spans="1:1" x14ac:dyDescent="0.3">
      <c r="A4" t="s">
        <v>184</v>
      </c>
    </row>
    <row r="5" spans="1:1" x14ac:dyDescent="0.3">
      <c r="A5" t="s">
        <v>185</v>
      </c>
    </row>
    <row r="6" spans="1:1" x14ac:dyDescent="0.3">
      <c r="A6" t="s">
        <v>186</v>
      </c>
    </row>
    <row r="7" spans="1:1" x14ac:dyDescent="0.3">
      <c r="A7" t="s">
        <v>187</v>
      </c>
    </row>
    <row r="8" spans="1:1" x14ac:dyDescent="0.3">
      <c r="A8" t="s">
        <v>188</v>
      </c>
    </row>
    <row r="10" spans="1:1" x14ac:dyDescent="0.3">
      <c r="A1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Regs_Orifices</vt:lpstr>
      <vt:lpstr>Torch_0D</vt:lpstr>
      <vt:lpstr>Heat_Xfer</vt:lpstr>
      <vt:lpstr>Jet_Lstar</vt:lpstr>
      <vt:lpstr>Bolts_Seals</vt:lpstr>
      <vt:lpstr>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 Vargas</cp:lastModifiedBy>
  <dcterms:created xsi:type="dcterms:W3CDTF">2025-09-06T23:59:36Z</dcterms:created>
  <dcterms:modified xsi:type="dcterms:W3CDTF">2025-09-07T19:43:43Z</dcterms:modified>
</cp:coreProperties>
</file>